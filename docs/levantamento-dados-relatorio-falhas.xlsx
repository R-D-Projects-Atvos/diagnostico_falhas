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antamento" sheetId="1" state="visible" r:id="rId3"/>
    <sheet name="Resumo" sheetId="2" state="visible" r:id="rId4"/>
  </sheets>
  <definedNames>
    <definedName function="false" hidden="true" localSheetId="0" name="_xlnm._FilterDatabase" vbProcedure="false">Levantamento!$A$6:$J$44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<sst xmlns="http://schemas.openxmlformats.org/spreadsheetml/2006/main" count="232" uniqueCount="150">
  <si>
    <t xml:space="preserve">Levantamento de dados - Relatório de falhas de plantio</t>
  </si>
  <si>
    <t xml:space="preserve">Geotecnologia | Atvos</t>
  </si>
  <si>
    <t xml:space="preserve">Como preencher: edite apenas as colunas F a J (destacadas em amarelo). As colunas A a E descrevem o dado e não precisam ser alteradas. A linha 7 é um exemplo de preenchimento e pode ser apagada.</t>
  </si>
  <si>
    <t xml:space="preserve">ID</t>
  </si>
  <si>
    <t xml:space="preserve">Bloco</t>
  </si>
  <si>
    <t xml:space="preserve">Dado</t>
  </si>
  <si>
    <t xml:space="preserve">Para que serve</t>
  </si>
  <si>
    <t xml:space="preserve">Prioridade</t>
  </si>
  <si>
    <t xml:space="preserve">Temos?</t>
  </si>
  <si>
    <t xml:space="preserve">Onde está</t>
  </si>
  <si>
    <t xml:space="preserve">Tabela / camada / campo</t>
  </si>
  <si>
    <t xml:space="preserve">Responsável pelo dado</t>
  </si>
  <si>
    <t xml:space="preserve">Observação</t>
  </si>
  <si>
    <t xml:space="preserve">EXEMPLO</t>
  </si>
  <si>
    <t xml:space="preserve">Cadastro</t>
  </si>
  <si>
    <t xml:space="preserve">Área do talhão em ha</t>
  </si>
  <si>
    <t xml:space="preserve">Ponderação dos indicadores</t>
  </si>
  <si>
    <t xml:space="preserve">Bloqueante</t>
  </si>
  <si>
    <t xml:space="preserve">Sim</t>
  </si>
  <si>
    <t xml:space="preserve">GDB (SQL Server)</t>
  </si>
  <si>
    <t xml:space="preserve">ATVOSPUBLICADOR.TALHOES_DATABASE, campo Area_Calc</t>
  </si>
  <si>
    <t xml:space="preserve">Cartografia</t>
  </si>
  <si>
    <t xml:space="preserve">Atualizado na rotina diária das 5h</t>
  </si>
  <si>
    <t xml:space="preserve">C1</t>
  </si>
  <si>
    <t xml:space="preserve">chavesig / cod_fazenda / cod_setor / cod_talhao</t>
  </si>
  <si>
    <t xml:space="preserve">Chave de ligação de tudo</t>
  </si>
  <si>
    <t xml:space="preserve">C2</t>
  </si>
  <si>
    <t xml:space="preserve">Unidade, fazenda, setor, frente responsável</t>
  </si>
  <si>
    <t xml:space="preserve">Cabeçalho e filtros</t>
  </si>
  <si>
    <t xml:space="preserve">Importante</t>
  </si>
  <si>
    <t xml:space="preserve">C3</t>
  </si>
  <si>
    <t xml:space="preserve">C4</t>
  </si>
  <si>
    <t xml:space="preserve">Safra e ciclo (18M, 12M, planta/soca)</t>
  </si>
  <si>
    <t xml:space="preserve">Filtro e cabeçalho</t>
  </si>
  <si>
    <t xml:space="preserve">C5</t>
  </si>
  <si>
    <t xml:space="preserve">Data média de plantio</t>
  </si>
  <si>
    <t xml:space="preserve">Cálculo de DAP e janela climática</t>
  </si>
  <si>
    <t xml:space="preserve">C6</t>
  </si>
  <si>
    <t xml:space="preserve">Data de início e fim do plantio</t>
  </si>
  <si>
    <t xml:space="preserve">Linha do tempo e ressalva da data média</t>
  </si>
  <si>
    <t xml:space="preserve">C7</t>
  </si>
  <si>
    <t xml:space="preserve">Variedade</t>
  </si>
  <si>
    <t xml:space="preserve">Fatores agronômicos</t>
  </si>
  <si>
    <t xml:space="preserve">C8</t>
  </si>
  <si>
    <t xml:space="preserve">Tipo de solo</t>
  </si>
  <si>
    <t xml:space="preserve">Fatores e leitura do diagnóstico</t>
  </si>
  <si>
    <t xml:space="preserve">C9</t>
  </si>
  <si>
    <t xml:space="preserve">Ambiente de produção</t>
  </si>
  <si>
    <t xml:space="preserve">Desejável</t>
  </si>
  <si>
    <t xml:space="preserve">C10</t>
  </si>
  <si>
    <t xml:space="preserve">CAD do solo em mm</t>
  </si>
  <si>
    <t xml:space="preserve">Balanço hídrico (ARM/CAD)</t>
  </si>
  <si>
    <t xml:space="preserve">C11</t>
  </si>
  <si>
    <t xml:space="preserve">Espaçamento de plantio (simples/alternado, metros)</t>
  </si>
  <si>
    <t xml:space="preserve">Converter metros de falha em percentual</t>
  </si>
  <si>
    <t xml:space="preserve">C12</t>
  </si>
  <si>
    <t xml:space="preserve">Certificação da muda e aderência à matriz</t>
  </si>
  <si>
    <t xml:space="preserve">C13</t>
  </si>
  <si>
    <t xml:space="preserve">Protocolos (calcário, sphenophorus, grama seda)</t>
  </si>
  <si>
    <t xml:space="preserve">C14</t>
  </si>
  <si>
    <t xml:space="preserve">TCH potencial</t>
  </si>
  <si>
    <t xml:space="preserve">C15</t>
  </si>
  <si>
    <t xml:space="preserve">Geometria dos talhões</t>
  </si>
  <si>
    <t xml:space="preserve">Mapas e recorte espacial</t>
  </si>
  <si>
    <t xml:space="preserve">F1</t>
  </si>
  <si>
    <t xml:space="preserve">Falhas</t>
  </si>
  <si>
    <t xml:space="preserve">Percentual de falhas por talhão</t>
  </si>
  <si>
    <t xml:space="preserve">KPI oficial, tabela e semáforo</t>
  </si>
  <si>
    <t xml:space="preserve">F2</t>
  </si>
  <si>
    <t xml:space="preserve">Data do processamento Bem Agro</t>
  </si>
  <si>
    <t xml:space="preserve">Rastreabilidade</t>
  </si>
  <si>
    <t xml:space="preserve">F3</t>
  </si>
  <si>
    <t xml:space="preserve">Data de publicação no PIMS</t>
  </si>
  <si>
    <t xml:space="preserve">Linha do tempo</t>
  </si>
  <si>
    <t xml:space="preserve">F4</t>
  </si>
  <si>
    <t xml:space="preserve">Linhas de falha classificadas por metro (geometria)</t>
  </si>
  <si>
    <t xml:space="preserve">Mapa de calor</t>
  </si>
  <si>
    <t xml:space="preserve">F5</t>
  </si>
  <si>
    <t xml:space="preserve">Comprimento de cada falha individual</t>
  </si>
  <si>
    <t xml:space="preserve">Tamanho médio e distribuição por classe</t>
  </si>
  <si>
    <t xml:space="preserve">F6</t>
  </si>
  <si>
    <t xml:space="preserve">Talhão de origem em cada linha de falha</t>
  </si>
  <si>
    <t xml:space="preserve">Agregação por talhão</t>
  </si>
  <si>
    <t xml:space="preserve">F7</t>
  </si>
  <si>
    <t xml:space="preserve">Ortomosaico do voo</t>
  </si>
  <si>
    <t xml:space="preserve">Página 1 do relatório</t>
  </si>
  <si>
    <t xml:space="preserve">K1</t>
  </si>
  <si>
    <t xml:space="preserve">Clima</t>
  </si>
  <si>
    <t xml:space="preserve">Cadastro das estações com coordenada</t>
  </si>
  <si>
    <t xml:space="preserve">Vincular talhão à estação</t>
  </si>
  <si>
    <t xml:space="preserve">K2</t>
  </si>
  <si>
    <t xml:space="preserve">Chuva diária por estação</t>
  </si>
  <si>
    <t xml:space="preserve">Gráfico, acumulados e veranico</t>
  </si>
  <si>
    <t xml:space="preserve">K3</t>
  </si>
  <si>
    <t xml:space="preserve">Temperatura diária (mín/máx)</t>
  </si>
  <si>
    <t xml:space="preserve">Déficit hídrico</t>
  </si>
  <si>
    <t xml:space="preserve">K4</t>
  </si>
  <si>
    <t xml:space="preserve">ETP / evapotranspiração</t>
  </si>
  <si>
    <t xml:space="preserve">Balanço hídrico e ARM/CAD</t>
  </si>
  <si>
    <t xml:space="preserve">K5</t>
  </si>
  <si>
    <t xml:space="preserve">Série completa da safra, todas as estações</t>
  </si>
  <si>
    <t xml:space="preserve">Comparação com a média da unidade</t>
  </si>
  <si>
    <t xml:space="preserve">K6</t>
  </si>
  <si>
    <t xml:space="preserve">Vínculo já existente entre talhão e estação</t>
  </si>
  <si>
    <t xml:space="preserve">Se existir, evita calcular</t>
  </si>
  <si>
    <t xml:space="preserve">V1</t>
  </si>
  <si>
    <t xml:space="preserve">Voo e porte</t>
  </si>
  <si>
    <t xml:space="preserve">Data do voo, aeronave, área analisada</t>
  </si>
  <si>
    <t xml:space="preserve">Cabeçalho e cálculo de DAP</t>
  </si>
  <si>
    <t xml:space="preserve">V2</t>
  </si>
  <si>
    <t xml:space="preserve">Data da avaliação de porte, piloto, situação</t>
  </si>
  <si>
    <t xml:space="preserve">Bloco de porte</t>
  </si>
  <si>
    <t xml:space="preserve">V3</t>
  </si>
  <si>
    <t xml:space="preserve">Talhões abrangidos na avaliação</t>
  </si>
  <si>
    <t xml:space="preserve">Vínculo avaliação-área</t>
  </si>
  <si>
    <t xml:space="preserve">V4</t>
  </si>
  <si>
    <t xml:space="preserve">Observações do piloto</t>
  </si>
  <si>
    <t xml:space="preserve">V5</t>
  </si>
  <si>
    <t xml:space="preserve">Fotos anexadas na avaliação</t>
  </si>
  <si>
    <t xml:space="preserve">V6</t>
  </si>
  <si>
    <t xml:space="preserve">Percentual de matologia da área</t>
  </si>
  <si>
    <t xml:space="preserve">P1</t>
  </si>
  <si>
    <t xml:space="preserve">Parâmetro</t>
  </si>
  <si>
    <t xml:space="preserve">Meta de falhas da Atvos</t>
  </si>
  <si>
    <t xml:space="preserve">Semáforo e área acima da meta</t>
  </si>
  <si>
    <t xml:space="preserve">P2</t>
  </si>
  <si>
    <t xml:space="preserve">Quebras do semáforo (verde/amarelo/vermelho)</t>
  </si>
  <si>
    <t xml:space="preserve">Classificação do resultado</t>
  </si>
  <si>
    <t xml:space="preserve">P3</t>
  </si>
  <si>
    <t xml:space="preserve">Definição de veranico (mm/dia e nº de dias)</t>
  </si>
  <si>
    <t xml:space="preserve">Indicador climático</t>
  </si>
  <si>
    <t xml:space="preserve">Resumo do levantamento</t>
  </si>
  <si>
    <t xml:space="preserve">Preenchido automaticamente conforme a aba Levantamento.</t>
  </si>
  <si>
    <t xml:space="preserve">Temos o dado?</t>
  </si>
  <si>
    <t xml:space="preserve">Itens</t>
  </si>
  <si>
    <t xml:space="preserve">BigQuery</t>
  </si>
  <si>
    <t xml:space="preserve">Parcial</t>
  </si>
  <si>
    <t xml:space="preserve">Não</t>
  </si>
  <si>
    <t xml:space="preserve">PIMS</t>
  </si>
  <si>
    <t xml:space="preserve">Não sei</t>
  </si>
  <si>
    <t xml:space="preserve">Survey123</t>
  </si>
  <si>
    <t xml:space="preserve">Sem resposta</t>
  </si>
  <si>
    <t xml:space="preserve">Bem Agro</t>
  </si>
  <si>
    <t xml:space="preserve">Arquivo avulso</t>
  </si>
  <si>
    <t xml:space="preserve">Outro sistema</t>
  </si>
  <si>
    <t xml:space="preserve">Não temos</t>
  </si>
  <si>
    <t xml:space="preserve">A definir</t>
  </si>
  <si>
    <t xml:space="preserve">Bloqueantes ainda sem resposta</t>
  </si>
  <si>
    <t xml:space="preserve">Prioridade bloqueante, coluna Temos? em branco</t>
  </si>
  <si>
    <t xml:space="preserve">Total de itens no levantamento: 37. Os itens marcados como bloqueantes impedem a entrega de um bloco inteiro do relatório; os demais degradam o conteúdo sem impedir a publicação.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</si>
</sst>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3657F"/>
      <name val="Arial"/>
      <family val="0"/>
      <charset val="1"/>
    </font>
    <font>
      <sz val="10"/>
      <color rgb="FF6B7378"/>
      <name val="Arial"/>
      <family val="0"/>
      <charset val="1"/>
    </font>
    <font>
      <i val="true"/>
      <sz val="9"/>
      <color rgb="FF6B551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099A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9"/>
      <color rgb="FF6B73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657F"/>
        <bgColor rgb="FF6B7378"/>
      </patternFill>
    </fill>
    <fill>
      <patternFill patternType="solid">
        <fgColor rgb="FFF2F4F5"/>
        <bgColor rgb="FFFFFFFF"/>
      </patternFill>
    </fill>
    <fill>
      <patternFill patternType="solid">
        <fgColor rgb="FFFFF6D9"/>
        <bgColor rgb="FFF2F4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2"/>
      </left>
      <right style="thin">
        <color rgb="FFD8DEE2"/>
      </right>
      <top style="thin">
        <color rgb="FFD8DEE2"/>
      </top>
      <bottom style="thin">
        <color rgb="FFD8DE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3657F"/>
          <bgColor rgb="FF000000"/>
        </patternFill>
      </fill>
    </dxf>
    <dxf>
      <fill>
        <patternFill patternType="solid">
          <fgColor rgb="FFF2F4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099A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FF6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518"/>
      <rgbColor rgb="FF800080"/>
      <rgbColor rgb="FF33657F"/>
      <rgbColor rgb="FFC0C0C0"/>
      <rgbColor rgb="FF808080"/>
      <rgbColor rgb="FF9999FF"/>
      <rgbColor rgb="FF993366"/>
      <rgbColor rgb="FFFFF6D9"/>
      <rgbColor rgb="FFF2F4F5"/>
      <rgbColor rgb="FF660066"/>
      <rgbColor rgb="FFFF8080"/>
      <rgbColor rgb="FF0066CC"/>
      <rgbColor rgb="FFD8DE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378"/>
      <rgbColor rgb="FF9099A0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9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30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</row>
    <row r="7" customFormat="false" ht="23.85" hidden="false" customHeight="false" outlineLevel="0" collapsed="false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22</v>
      </c>
    </row>
    <row r="8" customFormat="false" ht="25.5" hidden="false" customHeight="true" outlineLevel="0" collapsed="false">
      <c r="A8" s="6" t="s">
        <v>23</v>
      </c>
      <c r="B8" s="7" t="s">
        <v>14</v>
      </c>
      <c r="C8" s="7" t="s">
        <v>24</v>
      </c>
      <c r="D8" s="7" t="s">
        <v>25</v>
      </c>
      <c r="E8" s="8" t="s">
        <v>17</v>
      </c>
      <c r="F8" s="9"/>
      <c r="G8" s="9"/>
      <c r="H8" s="9"/>
      <c r="I8" s="9"/>
      <c r="J8" s="9"/>
    </row>
    <row r="9" customFormat="false" ht="25.5" hidden="false" customHeight="true" outlineLevel="0" collapsed="false">
      <c r="A9" s="6" t="s">
        <v>26</v>
      </c>
      <c r="B9" s="7" t="s">
        <v>14</v>
      </c>
      <c r="C9" s="7" t="s">
        <v>27</v>
      </c>
      <c r="D9" s="7" t="s">
        <v>28</v>
      </c>
      <c r="E9" s="7" t="s">
        <v>29</v>
      </c>
      <c r="F9" s="9"/>
      <c r="G9" s="9"/>
      <c r="H9" s="9"/>
      <c r="I9" s="9"/>
      <c r="J9" s="9"/>
    </row>
    <row r="10" customFormat="false" ht="25.5" hidden="false" customHeight="true" outlineLevel="0" collapsed="false">
      <c r="A10" s="6" t="s">
        <v>30</v>
      </c>
      <c r="B10" s="7" t="s">
        <v>14</v>
      </c>
      <c r="C10" s="7" t="s">
        <v>15</v>
      </c>
      <c r="D10" s="7" t="s">
        <v>16</v>
      </c>
      <c r="E10" s="8" t="s">
        <v>17</v>
      </c>
      <c r="F10" s="9"/>
      <c r="G10" s="9"/>
      <c r="H10" s="9"/>
      <c r="I10" s="9"/>
      <c r="J10" s="9"/>
    </row>
    <row r="11" customFormat="false" ht="25.5" hidden="false" customHeight="true" outlineLevel="0" collapsed="false">
      <c r="A11" s="6" t="s">
        <v>31</v>
      </c>
      <c r="B11" s="7" t="s">
        <v>14</v>
      </c>
      <c r="C11" s="7" t="s">
        <v>32</v>
      </c>
      <c r="D11" s="7" t="s">
        <v>33</v>
      </c>
      <c r="E11" s="8" t="s">
        <v>17</v>
      </c>
      <c r="F11" s="9"/>
      <c r="G11" s="9"/>
      <c r="H11" s="9"/>
      <c r="I11" s="9"/>
      <c r="J11" s="9"/>
    </row>
    <row r="12" customFormat="false" ht="25.5" hidden="false" customHeight="true" outlineLevel="0" collapsed="false">
      <c r="A12" s="6" t="s">
        <v>34</v>
      </c>
      <c r="B12" s="7" t="s">
        <v>14</v>
      </c>
      <c r="C12" s="7" t="s">
        <v>35</v>
      </c>
      <c r="D12" s="7" t="s">
        <v>36</v>
      </c>
      <c r="E12" s="8" t="s">
        <v>17</v>
      </c>
      <c r="F12" s="9"/>
      <c r="G12" s="9"/>
      <c r="H12" s="9"/>
      <c r="I12" s="9"/>
      <c r="J12" s="9"/>
    </row>
    <row r="13" customFormat="false" ht="25.5" hidden="false" customHeight="true" outlineLevel="0" collapsed="false">
      <c r="A13" s="6" t="s">
        <v>37</v>
      </c>
      <c r="B13" s="7" t="s">
        <v>14</v>
      </c>
      <c r="C13" s="7" t="s">
        <v>38</v>
      </c>
      <c r="D13" s="7" t="s">
        <v>39</v>
      </c>
      <c r="E13" s="7" t="s">
        <v>29</v>
      </c>
      <c r="F13" s="9"/>
      <c r="G13" s="9"/>
      <c r="H13" s="9"/>
      <c r="I13" s="9"/>
      <c r="J13" s="9"/>
    </row>
    <row r="14" customFormat="false" ht="25.5" hidden="false" customHeight="true" outlineLevel="0" collapsed="false">
      <c r="A14" s="6" t="s">
        <v>40</v>
      </c>
      <c r="B14" s="7" t="s">
        <v>14</v>
      </c>
      <c r="C14" s="7" t="s">
        <v>41</v>
      </c>
      <c r="D14" s="7" t="s">
        <v>42</v>
      </c>
      <c r="E14" s="7" t="s">
        <v>29</v>
      </c>
      <c r="F14" s="9"/>
      <c r="G14" s="9"/>
      <c r="H14" s="9"/>
      <c r="I14" s="9"/>
      <c r="J14" s="9"/>
    </row>
    <row r="15" customFormat="false" ht="25.5" hidden="false" customHeight="true" outlineLevel="0" collapsed="false">
      <c r="A15" s="6" t="s">
        <v>43</v>
      </c>
      <c r="B15" s="7" t="s">
        <v>14</v>
      </c>
      <c r="C15" s="7" t="s">
        <v>44</v>
      </c>
      <c r="D15" s="7" t="s">
        <v>45</v>
      </c>
      <c r="E15" s="7" t="s">
        <v>29</v>
      </c>
      <c r="F15" s="9"/>
      <c r="G15" s="9"/>
      <c r="H15" s="9"/>
      <c r="I15" s="9"/>
      <c r="J15" s="9"/>
    </row>
    <row r="16" customFormat="false" ht="25.5" hidden="false" customHeight="true" outlineLevel="0" collapsed="false">
      <c r="A16" s="6" t="s">
        <v>46</v>
      </c>
      <c r="B16" s="7" t="s">
        <v>14</v>
      </c>
      <c r="C16" s="7" t="s">
        <v>47</v>
      </c>
      <c r="D16" s="7" t="s">
        <v>42</v>
      </c>
      <c r="E16" s="7" t="s">
        <v>48</v>
      </c>
      <c r="F16" s="9"/>
      <c r="G16" s="9"/>
      <c r="H16" s="9"/>
      <c r="I16" s="9"/>
      <c r="J16" s="9"/>
    </row>
    <row r="17" customFormat="false" ht="25.5" hidden="false" customHeight="true" outlineLevel="0" collapsed="false">
      <c r="A17" s="6" t="s">
        <v>49</v>
      </c>
      <c r="B17" s="7" t="s">
        <v>14</v>
      </c>
      <c r="C17" s="7" t="s">
        <v>50</v>
      </c>
      <c r="D17" s="7" t="s">
        <v>51</v>
      </c>
      <c r="E17" s="8" t="s">
        <v>17</v>
      </c>
      <c r="F17" s="9"/>
      <c r="G17" s="9"/>
      <c r="H17" s="9"/>
      <c r="I17" s="9"/>
      <c r="J17" s="9"/>
    </row>
    <row r="18" customFormat="false" ht="25.5" hidden="false" customHeight="true" outlineLevel="0" collapsed="false">
      <c r="A18" s="6" t="s">
        <v>52</v>
      </c>
      <c r="B18" s="7" t="s">
        <v>14</v>
      </c>
      <c r="C18" s="7" t="s">
        <v>53</v>
      </c>
      <c r="D18" s="7" t="s">
        <v>54</v>
      </c>
      <c r="E18" s="8" t="s">
        <v>17</v>
      </c>
      <c r="F18" s="9"/>
      <c r="G18" s="9"/>
      <c r="H18" s="9"/>
      <c r="I18" s="9"/>
      <c r="J18" s="9"/>
    </row>
    <row r="19" customFormat="false" ht="25.5" hidden="false" customHeight="true" outlineLevel="0" collapsed="false">
      <c r="A19" s="6" t="s">
        <v>55</v>
      </c>
      <c r="B19" s="7" t="s">
        <v>14</v>
      </c>
      <c r="C19" s="7" t="s">
        <v>56</v>
      </c>
      <c r="D19" s="7" t="s">
        <v>42</v>
      </c>
      <c r="E19" s="7" t="s">
        <v>48</v>
      </c>
      <c r="F19" s="9"/>
      <c r="G19" s="9"/>
      <c r="H19" s="9"/>
      <c r="I19" s="9"/>
      <c r="J19" s="9"/>
    </row>
    <row r="20" customFormat="false" ht="25.5" hidden="false" customHeight="true" outlineLevel="0" collapsed="false">
      <c r="A20" s="6" t="s">
        <v>57</v>
      </c>
      <c r="B20" s="7" t="s">
        <v>14</v>
      </c>
      <c r="C20" s="7" t="s">
        <v>58</v>
      </c>
      <c r="D20" s="7" t="s">
        <v>42</v>
      </c>
      <c r="E20" s="7" t="s">
        <v>48</v>
      </c>
      <c r="F20" s="9"/>
      <c r="G20" s="9"/>
      <c r="H20" s="9"/>
      <c r="I20" s="9"/>
      <c r="J20" s="9"/>
    </row>
    <row r="21" customFormat="false" ht="25.5" hidden="false" customHeight="true" outlineLevel="0" collapsed="false">
      <c r="A21" s="6" t="s">
        <v>59</v>
      </c>
      <c r="B21" s="7" t="s">
        <v>14</v>
      </c>
      <c r="C21" s="7" t="s">
        <v>60</v>
      </c>
      <c r="D21" s="7" t="s">
        <v>42</v>
      </c>
      <c r="E21" s="7" t="s">
        <v>48</v>
      </c>
      <c r="F21" s="9"/>
      <c r="G21" s="9"/>
      <c r="H21" s="9"/>
      <c r="I21" s="9"/>
      <c r="J21" s="9"/>
    </row>
    <row r="22" customFormat="false" ht="25.5" hidden="false" customHeight="true" outlineLevel="0" collapsed="false">
      <c r="A22" s="6" t="s">
        <v>61</v>
      </c>
      <c r="B22" s="7" t="s">
        <v>14</v>
      </c>
      <c r="C22" s="7" t="s">
        <v>62</v>
      </c>
      <c r="D22" s="7" t="s">
        <v>63</v>
      </c>
      <c r="E22" s="8" t="s">
        <v>17</v>
      </c>
      <c r="F22" s="9"/>
      <c r="G22" s="9"/>
      <c r="H22" s="9"/>
      <c r="I22" s="9"/>
      <c r="J22" s="9"/>
    </row>
    <row r="23" customFormat="false" ht="25.5" hidden="false" customHeight="true" outlineLevel="0" collapsed="false">
      <c r="A23" s="6" t="s">
        <v>64</v>
      </c>
      <c r="B23" s="7" t="s">
        <v>65</v>
      </c>
      <c r="C23" s="7" t="s">
        <v>66</v>
      </c>
      <c r="D23" s="7" t="s">
        <v>67</v>
      </c>
      <c r="E23" s="8" t="s">
        <v>17</v>
      </c>
      <c r="F23" s="9"/>
      <c r="G23" s="9"/>
      <c r="H23" s="9"/>
      <c r="I23" s="9"/>
      <c r="J23" s="9"/>
    </row>
    <row r="24" customFormat="false" ht="25.5" hidden="false" customHeight="true" outlineLevel="0" collapsed="false">
      <c r="A24" s="6" t="s">
        <v>68</v>
      </c>
      <c r="B24" s="7" t="s">
        <v>65</v>
      </c>
      <c r="C24" s="7" t="s">
        <v>69</v>
      </c>
      <c r="D24" s="7" t="s">
        <v>70</v>
      </c>
      <c r="E24" s="7" t="s">
        <v>29</v>
      </c>
      <c r="F24" s="9"/>
      <c r="G24" s="9"/>
      <c r="H24" s="9"/>
      <c r="I24" s="9"/>
      <c r="J24" s="9"/>
    </row>
    <row r="25" customFormat="false" ht="25.5" hidden="false" customHeight="true" outlineLevel="0" collapsed="false">
      <c r="A25" s="6" t="s">
        <v>71</v>
      </c>
      <c r="B25" s="7" t="s">
        <v>65</v>
      </c>
      <c r="C25" s="7" t="s">
        <v>72</v>
      </c>
      <c r="D25" s="7" t="s">
        <v>73</v>
      </c>
      <c r="E25" s="7" t="s">
        <v>48</v>
      </c>
      <c r="F25" s="9"/>
      <c r="G25" s="9"/>
      <c r="H25" s="9"/>
      <c r="I25" s="9"/>
      <c r="J25" s="9"/>
    </row>
    <row r="26" customFormat="false" ht="25.5" hidden="false" customHeight="true" outlineLevel="0" collapsed="false">
      <c r="A26" s="6" t="s">
        <v>74</v>
      </c>
      <c r="B26" s="7" t="s">
        <v>65</v>
      </c>
      <c r="C26" s="7" t="s">
        <v>75</v>
      </c>
      <c r="D26" s="7" t="s">
        <v>76</v>
      </c>
      <c r="E26" s="8" t="s">
        <v>17</v>
      </c>
      <c r="F26" s="9"/>
      <c r="G26" s="9"/>
      <c r="H26" s="9"/>
      <c r="I26" s="9"/>
      <c r="J26" s="9"/>
    </row>
    <row r="27" customFormat="false" ht="25.5" hidden="false" customHeight="true" outlineLevel="0" collapsed="false">
      <c r="A27" s="6" t="s">
        <v>77</v>
      </c>
      <c r="B27" s="7" t="s">
        <v>65</v>
      </c>
      <c r="C27" s="7" t="s">
        <v>78</v>
      </c>
      <c r="D27" s="7" t="s">
        <v>79</v>
      </c>
      <c r="E27" s="7" t="s">
        <v>29</v>
      </c>
      <c r="F27" s="9"/>
      <c r="G27" s="9"/>
      <c r="H27" s="9"/>
      <c r="I27" s="9"/>
      <c r="J27" s="9"/>
    </row>
    <row r="28" customFormat="false" ht="25.5" hidden="false" customHeight="true" outlineLevel="0" collapsed="false">
      <c r="A28" s="6" t="s">
        <v>80</v>
      </c>
      <c r="B28" s="7" t="s">
        <v>65</v>
      </c>
      <c r="C28" s="7" t="s">
        <v>81</v>
      </c>
      <c r="D28" s="7" t="s">
        <v>82</v>
      </c>
      <c r="E28" s="7" t="s">
        <v>29</v>
      </c>
      <c r="F28" s="9"/>
      <c r="G28" s="9"/>
      <c r="H28" s="9"/>
      <c r="I28" s="9"/>
      <c r="J28" s="9"/>
    </row>
    <row r="29" customFormat="false" ht="25.5" hidden="false" customHeight="true" outlineLevel="0" collapsed="false">
      <c r="A29" s="6" t="s">
        <v>83</v>
      </c>
      <c r="B29" s="7" t="s">
        <v>65</v>
      </c>
      <c r="C29" s="7" t="s">
        <v>84</v>
      </c>
      <c r="D29" s="7" t="s">
        <v>85</v>
      </c>
      <c r="E29" s="7" t="s">
        <v>29</v>
      </c>
      <c r="F29" s="9"/>
      <c r="G29" s="9"/>
      <c r="H29" s="9"/>
      <c r="I29" s="9"/>
      <c r="J29" s="9"/>
    </row>
    <row r="30" customFormat="false" ht="25.5" hidden="false" customHeight="true" outlineLevel="0" collapsed="false">
      <c r="A30" s="6" t="s">
        <v>86</v>
      </c>
      <c r="B30" s="7" t="s">
        <v>87</v>
      </c>
      <c r="C30" s="7" t="s">
        <v>88</v>
      </c>
      <c r="D30" s="7" t="s">
        <v>89</v>
      </c>
      <c r="E30" s="8" t="s">
        <v>17</v>
      </c>
      <c r="F30" s="9"/>
      <c r="G30" s="9"/>
      <c r="H30" s="9"/>
      <c r="I30" s="9"/>
      <c r="J30" s="9"/>
    </row>
    <row r="31" customFormat="false" ht="25.5" hidden="false" customHeight="true" outlineLevel="0" collapsed="false">
      <c r="A31" s="6" t="s">
        <v>90</v>
      </c>
      <c r="B31" s="7" t="s">
        <v>87</v>
      </c>
      <c r="C31" s="7" t="s">
        <v>91</v>
      </c>
      <c r="D31" s="7" t="s">
        <v>92</v>
      </c>
      <c r="E31" s="8" t="s">
        <v>17</v>
      </c>
      <c r="F31" s="9"/>
      <c r="G31" s="9"/>
      <c r="H31" s="9"/>
      <c r="I31" s="9"/>
      <c r="J31" s="9"/>
    </row>
    <row r="32" customFormat="false" ht="25.5" hidden="false" customHeight="true" outlineLevel="0" collapsed="false">
      <c r="A32" s="6" t="s">
        <v>93</v>
      </c>
      <c r="B32" s="7" t="s">
        <v>87</v>
      </c>
      <c r="C32" s="7" t="s">
        <v>94</v>
      </c>
      <c r="D32" s="7" t="s">
        <v>95</v>
      </c>
      <c r="E32" s="7" t="s">
        <v>29</v>
      </c>
      <c r="F32" s="9"/>
      <c r="G32" s="9"/>
      <c r="H32" s="9"/>
      <c r="I32" s="9"/>
      <c r="J32" s="9"/>
    </row>
    <row r="33" customFormat="false" ht="25.5" hidden="false" customHeight="true" outlineLevel="0" collapsed="false">
      <c r="A33" s="6" t="s">
        <v>96</v>
      </c>
      <c r="B33" s="7" t="s">
        <v>87</v>
      </c>
      <c r="C33" s="7" t="s">
        <v>97</v>
      </c>
      <c r="D33" s="7" t="s">
        <v>98</v>
      </c>
      <c r="E33" s="7" t="s">
        <v>29</v>
      </c>
      <c r="F33" s="9"/>
      <c r="G33" s="9"/>
      <c r="H33" s="9"/>
      <c r="I33" s="9"/>
      <c r="J33" s="9"/>
    </row>
    <row r="34" customFormat="false" ht="25.5" hidden="false" customHeight="true" outlineLevel="0" collapsed="false">
      <c r="A34" s="6" t="s">
        <v>99</v>
      </c>
      <c r="B34" s="7" t="s">
        <v>87</v>
      </c>
      <c r="C34" s="7" t="s">
        <v>100</v>
      </c>
      <c r="D34" s="7" t="s">
        <v>101</v>
      </c>
      <c r="E34" s="8" t="s">
        <v>17</v>
      </c>
      <c r="F34" s="9"/>
      <c r="G34" s="9"/>
      <c r="H34" s="9"/>
      <c r="I34" s="9"/>
      <c r="J34" s="9"/>
    </row>
    <row r="35" customFormat="false" ht="25.5" hidden="false" customHeight="true" outlineLevel="0" collapsed="false">
      <c r="A35" s="6" t="s">
        <v>102</v>
      </c>
      <c r="B35" s="7" t="s">
        <v>87</v>
      </c>
      <c r="C35" s="7" t="s">
        <v>103</v>
      </c>
      <c r="D35" s="7" t="s">
        <v>104</v>
      </c>
      <c r="E35" s="7" t="s">
        <v>48</v>
      </c>
      <c r="F35" s="9"/>
      <c r="G35" s="9"/>
      <c r="H35" s="9"/>
      <c r="I35" s="9"/>
      <c r="J35" s="9"/>
    </row>
    <row r="36" customFormat="false" ht="25.5" hidden="false" customHeight="true" outlineLevel="0" collapsed="false">
      <c r="A36" s="6" t="s">
        <v>105</v>
      </c>
      <c r="B36" s="7" t="s">
        <v>106</v>
      </c>
      <c r="C36" s="7" t="s">
        <v>107</v>
      </c>
      <c r="D36" s="7" t="s">
        <v>108</v>
      </c>
      <c r="E36" s="8" t="s">
        <v>17</v>
      </c>
      <c r="F36" s="9"/>
      <c r="G36" s="9"/>
      <c r="H36" s="9"/>
      <c r="I36" s="9"/>
      <c r="J36" s="9"/>
    </row>
    <row r="37" customFormat="false" ht="25.5" hidden="false" customHeight="true" outlineLevel="0" collapsed="false">
      <c r="A37" s="6" t="s">
        <v>109</v>
      </c>
      <c r="B37" s="7" t="s">
        <v>106</v>
      </c>
      <c r="C37" s="7" t="s">
        <v>110</v>
      </c>
      <c r="D37" s="7" t="s">
        <v>111</v>
      </c>
      <c r="E37" s="7" t="s">
        <v>29</v>
      </c>
      <c r="F37" s="9"/>
      <c r="G37" s="9"/>
      <c r="H37" s="9"/>
      <c r="I37" s="9"/>
      <c r="J37" s="9"/>
    </row>
    <row r="38" customFormat="false" ht="25.5" hidden="false" customHeight="true" outlineLevel="0" collapsed="false">
      <c r="A38" s="6" t="s">
        <v>112</v>
      </c>
      <c r="B38" s="7" t="s">
        <v>106</v>
      </c>
      <c r="C38" s="7" t="s">
        <v>113</v>
      </c>
      <c r="D38" s="7" t="s">
        <v>114</v>
      </c>
      <c r="E38" s="7" t="s">
        <v>29</v>
      </c>
      <c r="F38" s="9"/>
      <c r="G38" s="9"/>
      <c r="H38" s="9"/>
      <c r="I38" s="9"/>
      <c r="J38" s="9"/>
    </row>
    <row r="39" customFormat="false" ht="25.5" hidden="false" customHeight="true" outlineLevel="0" collapsed="false">
      <c r="A39" s="6" t="s">
        <v>115</v>
      </c>
      <c r="B39" s="7" t="s">
        <v>106</v>
      </c>
      <c r="C39" s="7" t="s">
        <v>116</v>
      </c>
      <c r="D39" s="7" t="s">
        <v>111</v>
      </c>
      <c r="E39" s="7" t="s">
        <v>48</v>
      </c>
      <c r="F39" s="9"/>
      <c r="G39" s="9"/>
      <c r="H39" s="9"/>
      <c r="I39" s="9"/>
      <c r="J39" s="9"/>
    </row>
    <row r="40" customFormat="false" ht="25.5" hidden="false" customHeight="true" outlineLevel="0" collapsed="false">
      <c r="A40" s="6" t="s">
        <v>117</v>
      </c>
      <c r="B40" s="7" t="s">
        <v>106</v>
      </c>
      <c r="C40" s="7" t="s">
        <v>118</v>
      </c>
      <c r="D40" s="7" t="s">
        <v>111</v>
      </c>
      <c r="E40" s="7" t="s">
        <v>48</v>
      </c>
      <c r="F40" s="9"/>
      <c r="G40" s="9"/>
      <c r="H40" s="9"/>
      <c r="I40" s="9"/>
      <c r="J40" s="9"/>
    </row>
    <row r="41" customFormat="false" ht="25.5" hidden="false" customHeight="true" outlineLevel="0" collapsed="false">
      <c r="A41" s="6" t="s">
        <v>119</v>
      </c>
      <c r="B41" s="7" t="s">
        <v>106</v>
      </c>
      <c r="C41" s="7" t="s">
        <v>120</v>
      </c>
      <c r="D41" s="7" t="s">
        <v>42</v>
      </c>
      <c r="E41" s="7" t="s">
        <v>48</v>
      </c>
      <c r="F41" s="9"/>
      <c r="G41" s="9"/>
      <c r="H41" s="9"/>
      <c r="I41" s="9"/>
      <c r="J41" s="9"/>
    </row>
    <row r="42" customFormat="false" ht="25.5" hidden="false" customHeight="true" outlineLevel="0" collapsed="false">
      <c r="A42" s="6" t="s">
        <v>121</v>
      </c>
      <c r="B42" s="7" t="s">
        <v>122</v>
      </c>
      <c r="C42" s="7" t="s">
        <v>123</v>
      </c>
      <c r="D42" s="7" t="s">
        <v>124</v>
      </c>
      <c r="E42" s="8" t="s">
        <v>17</v>
      </c>
      <c r="F42" s="9"/>
      <c r="G42" s="9"/>
      <c r="H42" s="9"/>
      <c r="I42" s="9"/>
      <c r="J42" s="9"/>
    </row>
    <row r="43" customFormat="false" ht="25.5" hidden="false" customHeight="true" outlineLevel="0" collapsed="false">
      <c r="A43" s="6" t="s">
        <v>125</v>
      </c>
      <c r="B43" s="7" t="s">
        <v>122</v>
      </c>
      <c r="C43" s="7" t="s">
        <v>126</v>
      </c>
      <c r="D43" s="7" t="s">
        <v>127</v>
      </c>
      <c r="E43" s="7" t="s">
        <v>29</v>
      </c>
      <c r="F43" s="9"/>
      <c r="G43" s="9"/>
      <c r="H43" s="9"/>
      <c r="I43" s="9"/>
      <c r="J43" s="9"/>
    </row>
    <row r="44" customFormat="false" ht="25.5" hidden="false" customHeight="true" outlineLevel="0" collapsed="false">
      <c r="A44" s="6" t="s">
        <v>128</v>
      </c>
      <c r="B44" s="7" t="s">
        <v>122</v>
      </c>
      <c r="C44" s="7" t="s">
        <v>129</v>
      </c>
      <c r="D44" s="7" t="s">
        <v>130</v>
      </c>
      <c r="E44" s="7" t="s">
        <v>29</v>
      </c>
      <c r="F44" s="9"/>
      <c r="G44" s="9"/>
      <c r="H44" s="9"/>
      <c r="I44" s="9"/>
      <c r="J44" s="9"/>
    </row>
  </sheetData>
  <autoFilter ref="A6:J44"/>
  <mergeCells count="1">
    <mergeCell ref="A4:J4"/>
  </mergeCells>
  <dataValidations count="2">
    <dataValidation allowBlank="true" errorStyle="stop" operator="between" showDropDown="false" showErrorMessage="false" showInputMessage="false" sqref="F8:F44" type="list">
      <formula1>"Sim,Parcial,Não,Não sei"</formula1>
      <formula2>0</formula2>
    </dataValidation>
    <dataValidation allowBlank="true" errorStyle="stop" operator="between" showDropDown="false" showErrorMessage="false" showInputMessage="false" sqref="G8:G44" type="list">
      <formula1>"BigQuery,GDB (SQL Server),PIMS,Survey123,Bem Agro,Arquivo avulso,Outro sistema,Não temos,A definir"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10" t="s">
        <v>132</v>
      </c>
    </row>
    <row r="4" customFormat="false" ht="15" hidden="false" customHeight="false" outlineLevel="0" collapsed="false">
      <c r="A4" s="11" t="s">
        <v>133</v>
      </c>
      <c r="B4" s="11" t="s">
        <v>134</v>
      </c>
      <c r="D4" s="11" t="s">
        <v>9</v>
      </c>
      <c r="E4" s="11" t="s">
        <v>134</v>
      </c>
    </row>
    <row r="5" customFormat="false" ht="15" hidden="false" customHeight="false" outlineLevel="0" collapsed="false">
      <c r="A5" s="12" t="s">
        <v>18</v>
      </c>
      <c r="B5" s="12" t="n">
        <f aca="false">COUNTIF(Levantamento!$F$8:$F$44,A5)</f>
        <v>0</v>
      </c>
      <c r="D5" s="12" t="s">
        <v>135</v>
      </c>
      <c r="E5" s="12" t="n">
        <f aca="false">COUNTIF(Levantamento!$G$8:$G$44,D5)</f>
        <v>0</v>
      </c>
    </row>
    <row r="6" customFormat="false" ht="15" hidden="false" customHeight="false" outlineLevel="0" collapsed="false">
      <c r="A6" s="12" t="s">
        <v>136</v>
      </c>
      <c r="B6" s="12" t="n">
        <f aca="false">COUNTIF(Levantamento!$F$8:$F$44,A6)</f>
        <v>0</v>
      </c>
      <c r="D6" s="12" t="s">
        <v>19</v>
      </c>
      <c r="E6" s="12" t="n">
        <f aca="false">COUNTIF(Levantamento!$G$8:$G$44,D6)</f>
        <v>0</v>
      </c>
    </row>
    <row r="7" customFormat="false" ht="15" hidden="false" customHeight="false" outlineLevel="0" collapsed="false">
      <c r="A7" s="12" t="s">
        <v>137</v>
      </c>
      <c r="B7" s="12" t="n">
        <f aca="false">COUNTIF(Levantamento!$F$8:$F$44,A7)</f>
        <v>0</v>
      </c>
      <c r="D7" s="12" t="s">
        <v>138</v>
      </c>
      <c r="E7" s="12" t="n">
        <f aca="false">COUNTIF(Levantamento!$G$8:$G$44,D7)</f>
        <v>0</v>
      </c>
    </row>
    <row r="8" customFormat="false" ht="15" hidden="false" customHeight="false" outlineLevel="0" collapsed="false">
      <c r="A8" s="12" t="s">
        <v>139</v>
      </c>
      <c r="B8" s="12" t="n">
        <f aca="false">COUNTIF(Levantamento!$F$8:$F$44,A8)</f>
        <v>0</v>
      </c>
      <c r="D8" s="12" t="s">
        <v>140</v>
      </c>
      <c r="E8" s="12" t="n">
        <f aca="false">COUNTIF(Levantamento!$G$8:$G$44,D8)</f>
        <v>0</v>
      </c>
    </row>
    <row r="9" customFormat="false" ht="15" hidden="false" customHeight="false" outlineLevel="0" collapsed="false">
      <c r="A9" s="12" t="s">
        <v>141</v>
      </c>
      <c r="B9" s="12" t="n">
        <f aca="false">COUNTBLANK(Levantamento!F8:F44)</f>
        <v>37</v>
      </c>
      <c r="D9" s="12" t="s">
        <v>142</v>
      </c>
      <c r="E9" s="12" t="n">
        <f aca="false">COUNTIF(Levantamento!$G$8:$G$44,D9)</f>
        <v>0</v>
      </c>
    </row>
    <row r="10" customFormat="false" ht="15" hidden="false" customHeight="false" outlineLevel="0" collapsed="false">
      <c r="D10" s="12" t="s">
        <v>143</v>
      </c>
      <c r="E10" s="12" t="n">
        <f aca="false">COUNTIF(Levantamento!$G$8:$G$44,D10)</f>
        <v>0</v>
      </c>
    </row>
    <row r="11" customFormat="false" ht="15" hidden="false" customHeight="false" outlineLevel="0" collapsed="false">
      <c r="D11" s="12" t="s">
        <v>144</v>
      </c>
      <c r="E11" s="12" t="n">
        <f aca="false">COUNTIF(Levantamento!$G$8:$G$44,D11)</f>
        <v>0</v>
      </c>
    </row>
    <row r="12" customFormat="false" ht="15" hidden="false" customHeight="false" outlineLevel="0" collapsed="false">
      <c r="D12" s="12" t="s">
        <v>145</v>
      </c>
      <c r="E12" s="12" t="n">
        <f aca="false">COUNTIF(Levantamento!$G$8:$G$44,D12)</f>
        <v>0</v>
      </c>
    </row>
    <row r="13" customFormat="false" ht="15" hidden="false" customHeight="false" outlineLevel="0" collapsed="false">
      <c r="D13" s="12" t="s">
        <v>146</v>
      </c>
      <c r="E13" s="12" t="n">
        <f aca="false">COUNTIF(Levantamento!$G$8:$G$44,D13)</f>
        <v>0</v>
      </c>
    </row>
    <row r="16" customFormat="false" ht="15" hidden="false" customHeight="false" outlineLevel="0" collapsed="false">
      <c r="A16" s="11" t="s">
        <v>147</v>
      </c>
      <c r="B16" s="11" t="s">
        <v>134</v>
      </c>
    </row>
    <row r="17" customFormat="false" ht="15" hidden="false" customHeight="false" outlineLevel="0" collapsed="false">
      <c r="A17" s="12" t="s">
        <v>148</v>
      </c>
      <c r="B17" s="13" t="n">
        <f aca="false">SUMPRODUCT((Levantamento!$E$8:$E$44="Bloqueante")*(Levantamento!$F$8:$F$44=""))</f>
        <v>14</v>
      </c>
    </row>
    <row r="19" customFormat="false" ht="15" hidden="false" customHeight="true" outlineLevel="0" collapsed="false">
      <c r="A19" s="14" t="s">
        <v>149</v>
      </c>
      <c r="B19" s="14"/>
      <c r="C19" s="14"/>
      <c r="D19" s="14"/>
      <c r="E19" s="14"/>
    </row>
    <row r="20" customFormat="false" ht="15" hidden="false" customHeight="false" outlineLevel="0" collapsed="false">
      <c r="A20" s="14"/>
      <c r="B20" s="14"/>
      <c r="C20" s="14"/>
      <c r="D20" s="14"/>
      <c r="E20" s="14"/>
    </row>
    <row r="21" customFormat="false" ht="15" hidden="false" customHeight="false" outlineLevel="0" collapsed="false">
      <c r="A21" s="14"/>
      <c r="B21" s="14"/>
      <c r="C21" s="14"/>
      <c r="D21" s="14"/>
      <c r="E21" s="14"/>
    </row>
  </sheetData>
  <mergeCells count="1">
    <mergeCell ref="A19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2026-08-14T14:57:19Z</dcterms:created>
  <dc:creator>openpyxl</dc:creator>
  <dc:description/>
  <dc:language>en-US</dc:language>
  <cp:lastModifiedBy/>
  <dcterms:modified xsi:type="dcterms:W3CDTF">2026-08-14T14:57:19Z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